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e9880b23c04c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c12aaa6420924d97"/>
    <x:sheet xmlns:r="http://schemas.openxmlformats.org/officeDocument/2006/relationships" name="Test Cases" sheetId="2" r:id="R14c613ed44804ec6"/>
    <x:sheet xmlns:r="http://schemas.openxmlformats.org/officeDocument/2006/relationships" name="Review Items" sheetId="3" r:id="R20ef28049b0145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1"/>
      <x:color rgb="FFFFFFFF"/>
      <x:name val="Carlito"/>
    </x:font>
    <x:font>
      <x:b/>
      <x:sz val="11"/>
      <x:color rgb="FF3730A3"/>
      <x:name val="Carlito"/>
    </x:font>
    <x:font>
      <x:b/>
      <x:sz val="11"/>
      <x:color rgb="FF92400E"/>
      <x:name val="Carlito"/>
    </x:font>
    <x:font>
      <x:b/>
      <x:sz val="11"/>
      <x:color rgb="FF166534"/>
      <x:name val="Carlito"/>
    </x:font>
    <x:font>
      <x:b/>
      <x:sz val="16"/>
      <x:color rgb="FFFFFFFF"/>
      <x:name val="Carlito"/>
    </x:font>
    <x:font>
      <x:sz val="10"/>
      <x:color rgb="FF475569"/>
      <x:name val="Carlito"/>
    </x:font>
    <x:font>
      <x:b/>
      <x:sz val="11"/>
      <x:name val="Carlito"/>
    </x:font>
    <x:font>
      <x:sz val="11"/>
      <x:color rgb="FF334155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0E7FF"/>
      </x:patternFill>
    </x:fill>
    <x:fill>
      <x:patternFill patternType="solid">
        <x:fgColor rgb="FFF7FAFD"/>
      </x:patternFill>
    </x:fill>
    <x:fill>
      <x:patternFill patternType="solid">
        <x:fgColor rgb="FFFEF3C7"/>
      </x:patternFill>
    </x:fill>
    <x:fill>
      <x:patternFill patternType="solid">
        <x:fgColor rgb="FFDCFCE7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horizontal="center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8" fillId="0" borderId="0" xfId="0" applyNumberFormat="1" applyFont="1" applyFill="1" applyBorder="1"/>
    <x:xf numFmtId="0" fontId="8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71dd4d6c4b44da" /><Relationship Type="http://schemas.openxmlformats.org/officeDocument/2006/relationships/theme" Target="/xl/theme/theme1.xml" Id="R5f4df1f5bb96445a" /><Relationship Type="http://schemas.openxmlformats.org/officeDocument/2006/relationships/sharedStrings" Target="/xl/sharedStrings.xml" Id="Rb5d45f0bc0854f29" /><Relationship Type="http://schemas.openxmlformats.org/officeDocument/2006/relationships/worksheet" Target="/xl/worksheets/sheet1.xml" Id="Rc12aaa6420924d97" /><Relationship Type="http://schemas.openxmlformats.org/officeDocument/2006/relationships/worksheet" Target="/xl/worksheets/sheet2.xml" Id="R14c613ed44804ec6" /><Relationship Type="http://schemas.openxmlformats.org/officeDocument/2006/relationships/worksheet" Target="/xl/worksheets/sheet3.xml" Id="R20ef28049b01459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37" hidden="0" customWidth="1"/>
    <x:col min="2" max="2" width="15" hidden="0" customWidth="1"/>
    <x:col min="3" max="3" width="4" hidden="0" customWidth="1"/>
    <x:col min="4" max="4" width="2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4" customHeight="1">
      <x:c r="A1" s="27" t="str">
        <x:v>E-COMMERCE QA  |  Manual Test Documentation</x:v>
      </x:c>
      <x:c r="B1" s="27"/>
      <x:c r="C1" s="27"/>
      <x:c r="D1" s="27"/>
      <x:c r="E1" s="27"/>
      <x:c r="F1" s="27"/>
      <x:c r="G1" s="27"/>
      <x:c r="H1" s="27"/>
    </x:row>
    <x:row r="2" ht="24" customHeight="1">
      <x:c r="A2" s="27"/>
      <x:c r="B2" s="27"/>
      <x:c r="C2" s="27"/>
      <x:c r="D2" s="27"/>
      <x:c r="E2" s="27"/>
      <x:c r="F2" s="27"/>
      <x:c r="G2" s="27"/>
      <x:c r="H2" s="27"/>
    </x:row>
    <x:row r="4">
      <x:c r="A4" s="30" t="str">
        <x:v>Automation Exercise  •  Evidence-based draft  •  Prepared from executed tests in this conversation</x:v>
      </x:c>
      <x:c r="B4" s="30"/>
      <x:c r="C4" s="30"/>
      <x:c r="D4" s="30"/>
      <x:c r="E4" s="30"/>
      <x:c r="F4" s="30"/>
      <x:c r="G4" s="30"/>
      <x:c r="H4" s="30"/>
    </x:row>
    <x:row r="6">
      <x:c r="A6" s="3" t="str">
        <x:v>METRIC</x:v>
      </x:c>
      <x:c r="B6" s="3" t="str">
        <x:v>VALUE</x:v>
      </x:c>
      <x:c r="D6" s="3" t="str">
        <x:v>MODULE</x:v>
      </x:c>
      <x:c r="E6" s="3" t="str">
        <x:v>CASES</x:v>
      </x:c>
      <x:c r="F6" s="3" t="str">
        <x:v>PASS</x:v>
      </x:c>
      <x:c r="G6" s="3" t="str">
        <x:v>LIMITED</x:v>
      </x:c>
      <x:c r="H6" s="3" t="str">
        <x:v>REVIEW</x:v>
      </x:c>
    </x:row>
    <x:row r="7" ht="26" customHeight="1">
      <x:c r="A7" t="str">
        <x:v>Total documented cases</x:v>
      </x:c>
      <x:c r="B7" s="33" t="n">
        <x:f>COUNTA('Test Cases'!A2:A14)</x:f>
        <x:v>13</x:v>
      </x:c>
      <x:c r="D7" t="str">
        <x:v>User Registration</x:v>
      </x:c>
      <x:c r="E7" t="n">
        <x:f>COUNTIF('Test Cases'!$B$2:$B$14,D7)</x:f>
        <x:v>4</x:v>
      </x:c>
      <x:c r="F7" t="n">
        <x:f>COUNTIFS('Test Cases'!$B$2:$B$14,D7,'Test Cases'!$I$2:$I$14,"PASS")</x:f>
        <x:v>2</x:v>
      </x:c>
      <x:c r="G7" t="n">
        <x:f>COUNTIFS('Test Cases'!$B$2:$B$14,D7,'Test Cases'!$I$2:$I$14,"PASS - Limited")</x:f>
        <x:v>1</x:v>
      </x:c>
      <x:c r="H7" t="n">
        <x:f>COUNTIFS('Test Cases'!$B$2:$B$14,D7,'Test Cases'!$I$2:$I$14,"REVIEW")</x:f>
        <x:v>1</x:v>
      </x:c>
    </x:row>
    <x:row r="8" ht="26" customHeight="1">
      <x:c r="A8" t="str">
        <x:v>PASS (fully confirmed observations)</x:v>
      </x:c>
      <x:c r="B8" s="33" t="n">
        <x:f>COUNTIF('Test Cases'!I2:I14,"PASS")</x:f>
        <x:v>11</x:v>
      </x:c>
      <x:c r="D8" t="str">
        <x:v>User Authentication</x:v>
      </x:c>
      <x:c r="E8" t="n">
        <x:f>COUNTIF('Test Cases'!$B$2:$B$14,D8)</x:f>
        <x:v>2</x:v>
      </x:c>
      <x:c r="F8" t="n">
        <x:f>COUNTIFS('Test Cases'!$B$2:$B$14,D8,'Test Cases'!$I$2:$I$14,"PASS")</x:f>
        <x:v>2</x:v>
      </x:c>
      <x:c r="G8" t="n">
        <x:f>COUNTIFS('Test Cases'!$B$2:$B$14,D8,'Test Cases'!$I$2:$I$14,"PASS - Limited")</x:f>
        <x:v>0</x:v>
      </x:c>
      <x:c r="H8" t="n">
        <x:f>COUNTIFS('Test Cases'!$B$2:$B$14,D8,'Test Cases'!$I$2:$I$14,"REVIEW")</x:f>
        <x:v>0</x:v>
      </x:c>
    </x:row>
    <x:row r="9" ht="26" customHeight="1">
      <x:c r="A9" t="str">
        <x:v>PASS - Limited coverage</x:v>
      </x:c>
      <x:c r="B9" s="33" t="n">
        <x:f>COUNTIF('Test Cases'!I2:I14,"PASS - Limited")</x:f>
        <x:v>1</x:v>
      </x:c>
      <x:c r="D9" t="str">
        <x:v>Product Search</x:v>
      </x:c>
      <x:c r="E9" t="n">
        <x:f>COUNTIF('Test Cases'!$B$2:$B$14,D9)</x:f>
        <x:v>3</x:v>
      </x:c>
      <x:c r="F9" t="n">
        <x:f>COUNTIFS('Test Cases'!$B$2:$B$14,D9,'Test Cases'!$I$2:$I$14,"PASS")</x:f>
        <x:v>3</x:v>
      </x:c>
      <x:c r="G9" t="n">
        <x:f>COUNTIFS('Test Cases'!$B$2:$B$14,D9,'Test Cases'!$I$2:$I$14,"PASS - Limited")</x:f>
        <x:v>0</x:v>
      </x:c>
      <x:c r="H9" t="n">
        <x:f>COUNTIFS('Test Cases'!$B$2:$B$14,D9,'Test Cases'!$I$2:$I$14,"REVIEW")</x:f>
        <x:v>0</x:v>
      </x:c>
    </x:row>
    <x:row r="10" ht="26" customHeight="1">
      <x:c r="A10" t="str">
        <x:v>REVIEW - requirement confirmation</x:v>
      </x:c>
      <x:c r="B10" s="33" t="n">
        <x:f>COUNTIF('Test Cases'!I2:I14,"REVIEW")</x:f>
        <x:v>1</x:v>
      </x:c>
      <x:c r="D10" t="str">
        <x:v>Shopping Cart</x:v>
      </x:c>
      <x:c r="E10" t="n">
        <x:f>COUNTIF('Test Cases'!$B$2:$B$14,D10)</x:f>
        <x:v>4</x:v>
      </x:c>
      <x:c r="F10" t="n">
        <x:f>COUNTIFS('Test Cases'!$B$2:$B$14,D10,'Test Cases'!$I$2:$I$14,"PASS")</x:f>
        <x:v>4</x:v>
      </x:c>
      <x:c r="G10" t="n">
        <x:f>COUNTIFS('Test Cases'!$B$2:$B$14,D10,'Test Cases'!$I$2:$I$14,"PASS - Limited")</x:f>
        <x:v>0</x:v>
      </x:c>
      <x:c r="H10" t="n">
        <x:f>COUNTIFS('Test Cases'!$B$2:$B$14,D10,'Test Cases'!$I$2:$I$14,"REVIEW")</x:f>
        <x:v>0</x:v>
      </x:c>
    </x:row>
    <x:row r="11" ht="26" customHeight="1">
      <x:c r="A11" t="str">
        <x:v>FAIL (confirmed)</x:v>
      </x:c>
      <x:c r="B11" s="33" t="n">
        <x:f>COUNTIF('Test Cases'!I2:I14,"FAIL")</x:f>
        <x:v>0</x:v>
      </x:c>
    </x:row>
    <x:row r="13" ht="30" customHeight="1">
      <x:c r="A13" s="37" t="str">
        <x:v>IMPORTANT: Status refers only to the explicitly tested checks — not full system quality or complete test coverage.</x:v>
      </x:c>
      <x:c r="B13" s="37"/>
      <x:c r="C13" s="37"/>
      <x:c r="D13" s="37"/>
      <x:c r="E13" s="37"/>
      <x:c r="F13" s="37"/>
      <x:c r="G13" s="37"/>
      <x:c r="H13" s="37"/>
    </x:row>
    <x:row r="15">
      <x:c r="A15" s="40" t="str">
        <x:v>NEXT: confirm missing registration-field detail, preserve screenshots and environment data, and investigate phone-number rules.</x:v>
      </x:c>
      <x:c r="B15" s="40"/>
      <x:c r="C15" s="40"/>
      <x:c r="D15" s="40"/>
      <x:c r="E15" s="40"/>
      <x:c r="F15" s="40"/>
      <x:c r="G15" s="40"/>
      <x:c r="H15" s="40"/>
    </x:row>
  </x:sheetData>
  <x:mergeCells>
    <x:mergeCell ref="A1:H2"/>
    <x:mergeCell ref="A4:H4"/>
    <x:mergeCell ref="A13:H13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30" hidden="0" customWidth="1"/>
    <x:col min="4" max="4" width="36" hidden="0" customWidth="1"/>
    <x:col min="5" max="5" width="34" hidden="0" customWidth="1"/>
    <x:col min="6" max="6" width="60" hidden="0" customWidth="1"/>
    <x:col min="7" max="7" width="53" hidden="0" customWidth="1"/>
    <x:col min="8" max="8" width="53" hidden="0" customWidth="1"/>
    <x:col min="9" max="9" width="16" hidden="0" customWidth="1"/>
    <x:col min="10" max="10" width="57" hidden="0" customWidth="1"/>
    <x:col min="11" max="11" width="34" hidden="0" customWidth="1"/>
  </x:cols>
  <x:sheetData>
    <x:row r="1" ht="32" customHeight="1">
      <x:c r="A1" s="4" t="str">
        <x:v>Test Case ID</x:v>
      </x:c>
      <x:c r="B1" s="4" t="str">
        <x:v>Feature</x:v>
      </x:c>
      <x:c r="C1" s="4" t="str">
        <x:v>Title</x:v>
      </x:c>
      <x:c r="D1" s="4" t="str">
        <x:v>Preconditions</x:v>
      </x:c>
      <x:c r="E1" s="4" t="str">
        <x:v>Test Data</x:v>
      </x:c>
      <x:c r="F1" s="4" t="str">
        <x:v>Test Steps</x:v>
      </x:c>
      <x:c r="G1" s="4" t="str">
        <x:v>Expected Result</x:v>
      </x:c>
      <x:c r="H1" s="4" t="str">
        <x:v>Actual Result</x:v>
      </x:c>
      <x:c r="I1" s="4" t="str">
        <x:v>Status</x:v>
      </x:c>
      <x:c r="J1" s="4" t="str">
        <x:v>Notes / Limitations</x:v>
      </x:c>
      <x:c r="K1" s="4" t="str">
        <x:v>Evidence</x:v>
      </x:c>
    </x:row>
    <x:row r="2" ht="78" customHeight="1">
      <x:c r="A2" s="16" t="str">
        <x:v>TC-REG-001</x:v>
      </x:c>
      <x:c r="B2" s="16" t="str">
        <x:v>User Registration</x:v>
      </x:c>
      <x:c r="C2" s="16" t="str">
        <x:v>Required-field validation (one field)</x:v>
      </x:c>
      <x:c r="D2" s="16" t="str">
        <x:v>User is on registration form.</x:v>
      </x:c>
      <x:c r="E2" s="16" t="str">
        <x:v>One required field left blank (specific field not recorded).</x:v>
      </x:c>
      <x:c r="F2" s="16" t="str">
        <x:v>Open registration form; leave a required field blank; attempt to submit.</x:v>
      </x:c>
      <x:c r="G2" s="16" t="str">
        <x:v>Registration is blocked and required field is indicated.</x:v>
      </x:c>
      <x:c r="H2" s="16" t="str">
        <x:v>Registration was blocked with a missing-field indication.</x:v>
      </x:c>
      <x:c r="I2" s="13" t="str">
        <x:v>PASS - Limited</x:v>
      </x:c>
      <x:c r="J2" s="16" t="str">
        <x:v>Only one required-field example was observed; exact field and message not recorded.</x:v>
      </x:c>
      <x:c r="K2" s="16" t="str">
        <x:v>Evidence not yet linked</x:v>
      </x:c>
    </x:row>
    <x:row r="3" ht="78" customHeight="1">
      <x:c r="A3" s="10" t="str">
        <x:v>TC-REG-002</x:v>
      </x:c>
      <x:c r="B3" s="10" t="str">
        <x:v>User Registration</x:v>
      </x:c>
      <x:c r="C3" s="10" t="str">
        <x:v>Mobile-number validation</x:v>
      </x:c>
      <x:c r="D3" s="10" t="str">
        <x:v>A new test email is available; registration form opened.</x:v>
      </x:c>
      <x:c r="E3" s="10" t="str">
        <x:v>Mobile number containing both letters and digits.</x:v>
      </x:c>
      <x:c r="F3" s="10" t="str">
        <x:v>Fill required registration fields; enter alphanumeric text in Mobile Number; submit the form.</x:v>
      </x:c>
      <x:c r="G3" s="10" t="str">
        <x:v>Alphabetic characters should be rejected only if numeric-phone validation is a requirement.</x:v>
      </x:c>
      <x:c r="H3" s="10" t="str">
        <x:v>Website accepted the value and displayed ACCOUNT CREATED!</x:v>
      </x:c>
      <x:c r="I3" s="19" t="str">
        <x:v>REVIEW</x:v>
      </x:c>
      <x:c r="J3" s="10" t="str">
        <x:v>Potential validation defect. Requirements not confirmed. Original screenshot of alphanumeric input not yet available.</x:v>
      </x:c>
      <x:c r="K3" s="10" t="str">
        <x:v>Evidence incomplete</x:v>
      </x:c>
    </x:row>
    <x:row r="4" ht="78" customHeight="1">
      <x:c r="A4" s="16" t="str">
        <x:v>TC-REG-003</x:v>
      </x:c>
      <x:c r="B4" s="16" t="str">
        <x:v>User Registration</x:v>
      </x:c>
      <x:c r="C4" s="16" t="str">
        <x:v>Prevent duplicate-email registration</x:v>
      </x:c>
      <x:c r="D4" s="16" t="str">
        <x:v>A test account already exists.</x:v>
      </x:c>
      <x:c r="E4" s="16" t="str">
        <x:v>Email address already used for registration.</x:v>
      </x:c>
      <x:c r="F4" s="16" t="str">
        <x:v>Open Signup / Login; enter name and existing registered email; click Signup.</x:v>
      </x:c>
      <x:c r="G4" s="16" t="str">
        <x:v>Duplicate registration should be rejected with an appropriate message.</x:v>
      </x:c>
      <x:c r="H4" s="16" t="str">
        <x:v>System rejected the attempt and showed 'Email Address already exist!'</x:v>
      </x:c>
      <x:c r="I4" s="23" t="str">
        <x:v>PASS</x:v>
      </x:c>
      <x:c r="J4" s="16" t="str">
        <x:v>A functional negative test for uniqueness of the email.</x:v>
      </x:c>
      <x:c r="K4" s="16" t="str">
        <x:v>Evidence not yet linked</x:v>
      </x:c>
    </x:row>
    <x:row r="5" ht="78" customHeight="1">
      <x:c r="A5" s="10" t="str">
        <x:v>TC-REG-004</x:v>
      </x:c>
      <x:c r="B5" s="10" t="str">
        <x:v>User Registration</x:v>
      </x:c>
      <x:c r="C5" s="10" t="str">
        <x:v>Invalid email format (missing @)</x:v>
      </x:c>
      <x:c r="D5" s="10" t="str">
        <x:v>Signup / Login page is available.</x:v>
      </x:c>
      <x:c r="E5" s="10" t="str">
        <x:v>fatentestgmail.com</x:v>
      </x:c>
      <x:c r="F5" s="10" t="str">
        <x:v>Open Signup / Login; enter name; enter invalid-format email; click Signup.</x:v>
      </x:c>
      <x:c r="G5" s="10" t="str">
        <x:v>Invalid email format should be rejected.</x:v>
      </x:c>
      <x:c r="H5" s="10" t="str">
        <x:v>Input was rejected; message indicated that the @ symbol is required.</x:v>
      </x:c>
      <x:c r="I5" s="23" t="str">
        <x:v>PASS</x:v>
      </x:c>
      <x:c r="J5" s="10" t="str">
        <x:v>A second invalid-email case was mentioned but test data and exact message were not saved.</x:v>
      </x:c>
      <x:c r="K5" s="10" t="str">
        <x:v>Evidence not yet linked</x:v>
      </x:c>
    </x:row>
    <x:row r="6" ht="78" customHeight="1">
      <x:c r="A6" s="16" t="str">
        <x:v>TC-LOGIN-001</x:v>
      </x:c>
      <x:c r="B6" s="16" t="str">
        <x:v>User Authentication</x:v>
      </x:c>
      <x:c r="C6" s="16" t="str">
        <x:v>Login with valid credentials</x:v>
      </x:c>
      <x:c r="D6" s="16" t="str">
        <x:v>Test account exists; user is logged out.</x:v>
      </x:c>
      <x:c r="E6" s="16" t="str">
        <x:v>Valid registered test email and password (not included in file).</x:v>
      </x:c>
      <x:c r="F6" s="16" t="str">
        <x:v>Open Signup / Login; enter valid credentials; click Login; verify username appears.</x:v>
      </x:c>
      <x:c r="G6" s="16" t="str">
        <x:v>Login succeeds and 'Logged in as' displays username.</x:v>
      </x:c>
      <x:c r="H6" s="16" t="str">
        <x:v>User successfully logged in and username appeared.</x:v>
      </x:c>
      <x:c r="I6" s="23" t="str">
        <x:v>PASS</x:v>
      </x:c>
      <x:c r="J6" s="16" t="str">
        <x:v>First attempt failed due to incorrect test data, not a confirmed defect.</x:v>
      </x:c>
      <x:c r="K6" s="16" t="str">
        <x:v>Evidence not yet linked</x:v>
      </x:c>
    </x:row>
    <x:row r="7" ht="78" customHeight="1">
      <x:c r="A7" s="10" t="str">
        <x:v>TC-LOGOUT-001</x:v>
      </x:c>
      <x:c r="B7" s="10" t="str">
        <x:v>User Authentication</x:v>
      </x:c>
      <x:c r="C7" s="10" t="str">
        <x:v>Logout and session check</x:v>
      </x:c>
      <x:c r="D7" s="10" t="str">
        <x:v>User is logged in.</x:v>
      </x:c>
      <x:c r="E7" s="10" t="str">
        <x:v>Authenticated test account.</x:v>
      </x:c>
      <x:c r="F7" s="10" t="str">
        <x:v>Click Logout; press browser Back; refresh page; verify authentication is not restored.</x:v>
      </x:c>
      <x:c r="G7" s="10" t="str">
        <x:v>User is logged out; cannot regain active session through Back and Refresh.</x:v>
      </x:c>
      <x:c r="H7" s="10" t="str">
        <x:v>Logout worked; Back and Refresh did not restore the logged-in state.</x:v>
      </x:c>
      <x:c r="I7" s="23" t="str">
        <x:v>PASS</x:v>
      </x:c>
      <x:c r="J7" s="10" t="str">
        <x:v>Observed on the tested browser/session; not a complete security assessment.</x:v>
      </x:c>
      <x:c r="K7" s="10" t="str">
        <x:v>Evidence not yet linked</x:v>
      </x:c>
    </x:row>
    <x:row r="8" ht="78" customHeight="1">
      <x:c r="A8" s="16" t="str">
        <x:v>TC-SEARCH-001</x:v>
      </x:c>
      <x:c r="B8" s="16" t="str">
        <x:v>Product Search</x:v>
      </x:c>
      <x:c r="C8" s="16" t="str">
        <x:v>Search using existing product name</x:v>
      </x:c>
      <x:c r="D8" s="16" t="str">
        <x:v>Website is accessible; Products page is available.</x:v>
      </x:c>
      <x:c r="E8" s="16" t="str">
        <x:v>Blue Top</x:v>
      </x:c>
      <x:c r="F8" s="16" t="str">
        <x:v>Open Products; enter Blue Top in Search Product; click Search; inspect results.</x:v>
      </x:c>
      <x:c r="G8" s="16" t="str">
        <x:v>Blue Top appears among search results.</x:v>
      </x:c>
      <x:c r="H8" s="16" t="str">
        <x:v>One matching result was displayed: Blue Top.</x:v>
      </x:c>
      <x:c r="I8" s="23" t="str">
        <x:v>PASS</x:v>
      </x:c>
      <x:c r="J8" s="16" t="str">
        <x:v>Only match existence was in scope for this case.</x:v>
      </x:c>
      <x:c r="K8" s="16" t="str">
        <x:v>Evidence not yet linked</x:v>
      </x:c>
    </x:row>
    <x:row r="9" ht="78" customHeight="1">
      <x:c r="A9" s="10" t="str">
        <x:v>TC-SEARCH-002</x:v>
      </x:c>
      <x:c r="B9" s="10" t="str">
        <x:v>Product Search</x:v>
      </x:c>
      <x:c r="C9" s="10" t="str">
        <x:v>Search for non-existent product</x:v>
      </x:c>
      <x:c r="D9" s="10" t="str">
        <x:v>Website is accessible; Products page is available.</x:v>
      </x:c>
      <x:c r="E9" s="10" t="str">
        <x:v>zznotfound987654</x:v>
      </x:c>
      <x:c r="F9" s="10" t="str">
        <x:v>Open Products; enter query; click Search; inspect SEARCHED PRODUCTS area.</x:v>
      </x:c>
      <x:c r="G9" s="10" t="str">
        <x:v>No unrelated products appear as matches.</x:v>
      </x:c>
      <x:c r="H9" s="10" t="str">
        <x:v>SEARCHED PRODUCTS section appeared, but no products were listed.</x:v>
      </x:c>
      <x:c r="I9" s="23" t="str">
        <x:v>PASS</x:v>
      </x:c>
      <x:c r="J9" s="10" t="str">
        <x:v>No specific no-results message was required.</x:v>
      </x:c>
      <x:c r="K9" s="10" t="str">
        <x:v>Screenshot provided in conversation; add to repo</x:v>
      </x:c>
    </x:row>
    <x:row r="10" ht="78" customHeight="1">
      <x:c r="A10" s="16" t="str">
        <x:v>TC-SEARCH-003</x:v>
      </x:c>
      <x:c r="B10" s="16" t="str">
        <x:v>Product Search</x:v>
      </x:c>
      <x:c r="C10" s="16" t="str">
        <x:v>Search using partial product name</x:v>
      </x:c>
      <x:c r="D10" s="16" t="str">
        <x:v>Website is accessible; Products page is available.</x:v>
      </x:c>
      <x:c r="E10" s="16" t="str">
        <x:v>Blue</x:v>
      </x:c>
      <x:c r="F10" s="16" t="str">
        <x:v>Open Products; enter Blue; click Search; inspect results.</x:v>
      </x:c>
      <x:c r="G10" s="16" t="str">
        <x:v>Results include a product matching a partial name (Blue Top), if partial-match behavior is supported.</x:v>
      </x:c>
      <x:c r="H10" s="16" t="str">
        <x:v>Seven results appeared, including Blue Top.</x:v>
      </x:c>
      <x:c r="I10" s="23" t="str">
        <x:v>PASS</x:v>
      </x:c>
      <x:c r="J10" s="16" t="str">
        <x:v>Partial matching was observed; all seven results were not individually validated.</x:v>
      </x:c>
      <x:c r="K10" s="16" t="str">
        <x:v>Evidence not yet linked</x:v>
      </x:c>
    </x:row>
    <x:row r="11" ht="78" customHeight="1">
      <x:c r="A11" s="10" t="str">
        <x:v>TC-CART-001</x:v>
      </x:c>
      <x:c r="B11" s="10" t="str">
        <x:v>Shopping Cart</x:v>
      </x:c>
      <x:c r="C11" s="10" t="str">
        <x:v>Add a single product</x:v>
      </x:c>
      <x:c r="D11" s="10" t="str">
        <x:v>Cart is empty.</x:v>
      </x:c>
      <x:c r="E11" s="10" t="str">
        <x:v>Blue Top, quantity 1</x:v>
      </x:c>
      <x:c r="F11" s="10" t="str">
        <x:v>Open Products; find Blue Top; click Add to Cart; View Cart; check name, quantity, and price.</x:v>
      </x:c>
      <x:c r="G11" s="10" t="str">
        <x:v>Correct product displays with quantity 1 and price matching product page.</x:v>
      </x:c>
      <x:c r="H11" s="10" t="str">
        <x:v>Blue Top appeared, quantity 1; price matched product page.</x:v>
      </x:c>
      <x:c r="I11" s="23" t="str">
        <x:v>PASS</x:v>
      </x:c>
      <x:c r="J11" s="10" t="str">
        <x:v>Numeric unit price was not recorded.</x:v>
      </x:c>
      <x:c r="K11" s="10" t="str">
        <x:v>Evidence not yet linked</x:v>
      </x:c>
    </x:row>
    <x:row r="12" ht="78" customHeight="1">
      <x:c r="A12" s="16" t="str">
        <x:v>TC-CART-002</x:v>
      </x:c>
      <x:c r="B12" s="16" t="str">
        <x:v>Shopping Cart</x:v>
      </x:c>
      <x:c r="C12" s="16" t="str">
        <x:v>Set product quantity to four</x:v>
      </x:c>
      <x:c r="D12" s="16" t="str">
        <x:v>Cart is empty.</x:v>
      </x:c>
      <x:c r="E12" s="16" t="str">
        <x:v>Blue Top, quantity 4</x:v>
      </x:c>
      <x:c r="F12" s="16" t="str">
        <x:v>Open Products; View Product; set quantity 4; Add to Cart; View Cart; verify quantity and total.</x:v>
      </x:c>
      <x:c r="G12" s="16" t="str">
        <x:v>Cart quantity is 4; line total equals unit price × 4.</x:v>
      </x:c>
      <x:c r="H12" s="16" t="str">
        <x:v>Quantity 4 appeared; total price matched unit price × 4.</x:v>
      </x:c>
      <x:c r="I12" s="23" t="str">
        <x:v>PASS</x:v>
      </x:c>
      <x:c r="J12" s="16" t="str">
        <x:v>Actual numeric unit/total prices were not recorded.</x:v>
      </x:c>
      <x:c r="K12" s="16" t="str">
        <x:v>Evidence not yet linked</x:v>
      </x:c>
    </x:row>
    <x:row r="13" ht="78" customHeight="1">
      <x:c r="A13" s="10" t="str">
        <x:v>TC-CART-003</x:v>
      </x:c>
      <x:c r="B13" s="10" t="str">
        <x:v>Shopping Cart</x:v>
      </x:c>
      <x:c r="C13" s="10" t="str">
        <x:v>Add same product twice</x:v>
      </x:c>
      <x:c r="D13" s="10" t="str">
        <x:v>Cart is empty.</x:v>
      </x:c>
      <x:c r="E13" s="10" t="str">
        <x:v>Blue Top, add twice</x:v>
      </x:c>
      <x:c r="F13" s="10" t="str">
        <x:v>Open Products; add Blue Top; Continue Shopping; add same product again; View Cart.</x:v>
      </x:c>
      <x:c r="G13" s="10" t="str">
        <x:v>Cart represents two total units, and line total reflects two units.</x:v>
      </x:c>
      <x:c r="H13" s="10" t="str">
        <x:v>One row was displayed for Blue Top with quantity 2; line total was correct.</x:v>
      </x:c>
      <x:c r="I13" s="23" t="str">
        <x:v>PASS</x:v>
      </x:c>
      <x:c r="J13" s="10" t="str">
        <x:v>Observed merging into one row; this is not a requirement across all shops.</x:v>
      </x:c>
      <x:c r="K13" s="10" t="str">
        <x:v>Evidence not yet linked</x:v>
      </x:c>
    </x:row>
    <x:row r="14" ht="78" customHeight="1">
      <x:c r="A14" s="16" t="str">
        <x:v>TC-CART-004</x:v>
      </x:c>
      <x:c r="B14" s="16" t="str">
        <x:v>Shopping Cart</x:v>
      </x:c>
      <x:c r="C14" s="16" t="str">
        <x:v>Remove product and refresh</x:v>
      </x:c>
      <x:c r="D14" s="16" t="str">
        <x:v>Blue Top is already in cart.</x:v>
      </x:c>
      <x:c r="E14" s="16" t="str">
        <x:v>Blue Top</x:v>
      </x:c>
      <x:c r="F14" s="16" t="str">
        <x:v>Open Cart; click X next to Blue Top; verify removal; refresh the page.</x:v>
      </x:c>
      <x:c r="G14" s="16" t="str">
        <x:v>Blue Top disappears and remains removed after refresh.</x:v>
      </x:c>
      <x:c r="H14" s="16" t="str">
        <x:v>Blue Top disappeared, remained removed after Refresh; 'Cart is empty!' displayed.</x:v>
      </x:c>
      <x:c r="I14" s="23" t="str">
        <x:v>PASS</x:v>
      </x:c>
      <x:c r="J14" s="16" t="str">
        <x:v>Initial Yes/No response was corrected by tester; final observed result is PASS.</x:v>
      </x:c>
      <x:c r="K14" s="16" t="str">
        <x:v>Evidence not yet linked</x:v>
      </x:c>
    </x:row>
  </x:sheetData>
  <x:dataValidations count="1">
    <x:dataValidation type="list" sqref="I2:I14">
      <x:formula1>"PASS,FAIL,PASS - Limited,REVIEW,BLOCKED,NOT RUN"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8" hidden="0" customWidth="1"/>
    <x:col min="3" max="3" width="69" hidden="0" customWidth="1"/>
    <x:col min="4" max="4" width="76" hidden="0" customWidth="1"/>
    <x:col min="5" max="5" width="28" hidden="0" customWidth="1"/>
  </x:cols>
  <x:sheetData>
    <x:row r="1" ht="30" customHeight="1">
      <x:c r="A1" s="3" t="str">
        <x:v>Item ID</x:v>
      </x:c>
      <x:c r="B1" s="3" t="str">
        <x:v>Linked Test</x:v>
      </x:c>
      <x:c r="C1" s="3" t="str">
        <x:v>Observation / Gap</x:v>
      </x:c>
      <x:c r="D1" s="3" t="str">
        <x:v>Documentation Action</x:v>
      </x:c>
      <x:c r="E1" s="3" t="str">
        <x:v>Classification</x:v>
      </x:c>
    </x:row>
    <x:row r="2" ht="70" customHeight="1">
      <x:c r="A2" s="16" t="str">
        <x:v>R-01</x:v>
      </x:c>
      <x:c r="B2" s="16" t="str">
        <x:v>TC-REG-001</x:v>
      </x:c>
      <x:c r="C2" s="16" t="str">
        <x:v>Exact required field and browser validation text were not recorded.</x:v>
      </x:c>
      <x:c r="D2" s="16" t="str">
        <x:v>Use PASS - Limited until detail or retest is available.</x:v>
      </x:c>
      <x:c r="E2" s="16" t="str">
        <x:v>Needed for reproducible complete test case</x:v>
      </x:c>
    </x:row>
    <x:row r="3" ht="70" customHeight="1">
      <x:c r="A3" s="10" t="str">
        <x:v>R-02</x:v>
      </x:c>
      <x:c r="B3" s="10" t="str">
        <x:v>TC-REG-002</x:v>
      </x:c>
      <x:c r="C3" s="10" t="str">
        <x:v>Mobile field allowed letters and digits; phone validation requirement unconfirmed.</x:v>
      </x:c>
      <x:c r="D3" s="10" t="str">
        <x:v>Record as potential defect; do not label confirmed FAIL without requirement; capture input screenshot if retested.</x:v>
      </x:c>
      <x:c r="E3" s="10" t="str">
        <x:v>Potential bug</x:v>
      </x:c>
    </x:row>
    <x:row r="4" ht="70" customHeight="1">
      <x:c r="A4" s="16" t="str">
        <x:v>R-03</x:v>
      </x:c>
      <x:c r="B4" s="16" t="str">
        <x:v>TC-REG-004</x:v>
      </x:c>
      <x:c r="C4" s="16" t="str">
        <x:v>Second invalid email variation mentioned, but exact test data/message unknown.</x:v>
      </x:c>
      <x:c r="D4" s="16" t="str">
        <x:v>Preserve as note only until exact values are supplied.</x:v>
      </x:c>
      <x:c r="E4" s="16" t="str">
        <x:v>Incomplete second subcase</x:v>
      </x:c>
    </x:row>
    <x:row r="5" ht="70" customHeight="1">
      <x:c r="A5" s="10" t="str">
        <x:v>R-04</x:v>
      </x:c>
      <x:c r="B5" s="10" t="str">
        <x:v>TC-SEARCH-003</x:v>
      </x:c>
      <x:c r="C5" s="10" t="str">
        <x:v>Seven Blue-related results observed; individual relevance not checked.</x:v>
      </x:c>
      <x:c r="D5" s="10" t="str">
        <x:v>Current PASS covers partial-match support, not accuracy of every result.</x:v>
      </x:c>
      <x:c r="E5" s="10" t="str">
        <x:v>Scope clarification</x:v>
      </x:c>
    </x:row>
    <x:row r="6" ht="70" customHeight="1">
      <x:c r="A6" s="16" t="str">
        <x:v>R-05</x:v>
      </x:c>
      <x:c r="B6" s="16" t="str">
        <x:v>ALL</x:v>
      </x:c>
      <x:c r="C6" s="16" t="str">
        <x:v>Browser, OS version and execution dates for individual runs not formally recorded.</x:v>
      </x:c>
      <x:c r="D6" s="16" t="str">
        <x:v>Add actual environment info, not guessed info.</x:v>
      </x:c>
      <x:c r="E6" s="16" t="str">
        <x:v>Documentation gap</x:v>
      </x:c>
    </x:row>
    <x:row r="7" ht="70" customHeight="1">
      <x:c r="A7" s="10" t="str">
        <x:v>R-06</x:v>
      </x:c>
      <x:c r="B7" s="10" t="str">
        <x:v>ALL</x:v>
      </x:c>
      <x:c r="C7" s="10" t="str">
        <x:v>Evidence screenshots were not linked to workbook/repository.</x:v>
      </x:c>
      <x:c r="D7" s="10" t="str">
        <x:v>Link or attach available screenshots; do not claim evidence that isn't preserved.</x:v>
      </x:c>
      <x:c r="E7" s="10" t="str">
        <x:v>Evidence gap</x:v>
      </x:c>
    </x:row>
    <x:row r="8" ht="70" customHeight="1">
      <x:c r="A8" s="16" t="str">
        <x:v>R-07</x:v>
      </x:c>
      <x:c r="B8" s="16" t="str">
        <x:v>TC-LOGIN-002</x:v>
      </x:c>
      <x:c r="C8" s="16" t="str">
        <x:v>Wrong-credential error observed during exploratory testing, but no separate formal test case finalized.</x:v>
      </x:c>
      <x:c r="D8" s="16" t="str">
        <x:v>May add after test data, steps and expected behavior are documented.</x:v>
      </x:c>
      <x:c r="E8" s="16" t="str">
        <x:v>Possible future case</x:v>
      </x:c>
    </x:row>
  </x:sheetData>
  <x:pageMargins left="0.7" right="0.7" top="0.75" bottom="0.75" header="0.3" footer="0.3"/>
</x:worksheet>
</file>